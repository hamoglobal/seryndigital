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<sst xmlns="http://schemas.openxmlformats.org/spreadsheetml/2006/main" count="214" uniqueCount="124">
  <si>
    <t xml:space="preserve">BÁO CÁO THEO DÕI THƯƠNG HIỆU THẨM MỸ - NGÀY 27/06/2026</t>
  </si>
  <si>
    <t xml:space="preserve">Nguồn: Google Search, Báo điện tử, Mạng xã hội | Tần suất: Hàng ngày</t>
  </si>
  <si>
    <t xml:space="preserve">STT</t>
  </si>
  <si>
    <t xml:space="preserve">Thương hiệu</t>
  </si>
  <si>
    <t xml:space="preserve">Số tin xấu</t>
  </si>
  <si>
    <t xml:space="preserve">Số bài viết mới</t>
  </si>
  <si>
    <t xml:space="preserve">Mức độ rủi ro</t>
  </si>
  <si>
    <t xml:space="preserve">Ghi chú nhanh</t>
  </si>
  <si>
    <t xml:space="preserve">Trạng thái</t>
  </si>
  <si>
    <t xml:space="preserve">Viện thẩm mỹ KangJin Sejung</t>
  </si>
  <si>
    <t xml:space="preserve">CAO</t>
  </si>
  <si>
    <t xml:space="preserve">Liên tục tái phạm quảng cáo sai sự thật, vi phạm quy định khám chữa bệnh</t>
  </si>
  <si>
    <t xml:space="preserve">⚠️ Cần theo dõi</t>
  </si>
  <si>
    <t xml:space="preserve">Thanh Hằng Beauty Medi</t>
  </si>
  <si>
    <t xml:space="preserve">TRUNG BÌNH</t>
  </si>
  <si>
    <t xml:space="preserve">Bị phạt hành nghề ngoài giờ, quảng cáo thuốc chưa được phép</t>
  </si>
  <si>
    <t xml:space="preserve">Lavender By Chang</t>
  </si>
  <si>
    <t xml:space="preserve">Liên tục bị phạt quảng cáo chui; nợ thuế ~1,1 tỷ đồng</t>
  </si>
  <si>
    <t xml:space="preserve">Bệnh viện thẩm mỹ Kangnam</t>
  </si>
  <si>
    <t xml:space="preserve">Mega Kangnam bị đình chỉ 18 tháng (01/2026); sự cố tai biến hút mỡ chưa báo cáo</t>
  </si>
  <si>
    <t xml:space="preserve">⚠️ Nguy cơ cao</t>
  </si>
  <si>
    <t xml:space="preserve">Thẩm mỹ viện Xuân Hương</t>
  </si>
  <si>
    <t xml:space="preserve">Cơ sở Mỹ Tho bị dừng vì không phép, không chứng chỉ hành nghề, tiêm filler trái phép</t>
  </si>
  <si>
    <t xml:space="preserve">Viện thẩm mỹ Bally</t>
  </si>
  <si>
    <t xml:space="preserve">THẤP</t>
  </si>
  <si>
    <t xml:space="preserve">Từng vi phạm cung cấp dịch vụ filler/trị nám chưa cấp phép</t>
  </si>
  <si>
    <t xml:space="preserve">✅ Theo dõi thêm</t>
  </si>
  <si>
    <t xml:space="preserve">Viện thẩm mỹ Dr. Hải Lê</t>
  </si>
  <si>
    <t xml:space="preserve">Tin mới tích cực: khai trương BV Tạo hình (3/2026), tham dự APS 2026 Hàn Quốc</t>
  </si>
  <si>
    <t xml:space="preserve">✅ Bình thường</t>
  </si>
  <si>
    <t xml:space="preserve">Thẩm mỹ viện Ngọc Dung</t>
  </si>
  <si>
    <t xml:space="preserve">Chi nhánh Nguyễn Thái Học bị phạt 94 triệu, tước phép 3 tháng; đang mở rộng 18 CN</t>
  </si>
  <si>
    <t xml:space="preserve">Thẩm mỹ viện VietCharm</t>
  </si>
  <si>
    <t xml:space="preserve">Không phát hiện vi phạm nổi bật trong 24h qua</t>
  </si>
  <si>
    <t xml:space="preserve">Thẩm mỹ viện Dr. Thái Hà</t>
  </si>
  <si>
    <t xml:space="preserve">Thẩm mỹ viện VITA Clinic</t>
  </si>
  <si>
    <t xml:space="preserve">Thẩm mỹ Hongkong</t>
  </si>
  <si>
    <t xml:space="preserve">Thực hiện laser trị mụn không phép - Sở YT Hà Nội xác nhận chưa cấp phép hoạt động</t>
  </si>
  <si>
    <t xml:space="preserve">Thẩm mỹ Seoul</t>
  </si>
  <si>
    <t xml:space="preserve">Seoul Center bị phạt 49tr; Seoul ID bị phạt 87,5tr + đình chỉ 18 tháng</t>
  </si>
  <si>
    <t xml:space="preserve">Thẩm mỹ Thu Cúc</t>
  </si>
  <si>
    <t xml:space="preserve">Nhân viên chiếm đoạt 2,7 tỷ đồng, lĩnh 10 năm tù; chi nhánh bị phạt vì vượt phạm vi</t>
  </si>
  <si>
    <t xml:space="preserve">TIN XẤU &amp; VI PHẠM - CẬP NHẬT NGÀY 27/06/2026</t>
  </si>
  <si>
    <t xml:space="preserve">Nội dung vi phạm / Tin xấu</t>
  </si>
  <si>
    <t xml:space="preserve">Nguồn thông tin</t>
  </si>
  <si>
    <t xml:space="preserve">URL Nguồn</t>
  </si>
  <si>
    <t xml:space="preserve">Mức độ</t>
  </si>
  <si>
    <t xml:space="preserve">Liên tục tái phạm vi phạm quảng cáo dịch vụ y tế trái phép. Bị xử phạt 30 triệu đồng (6/2024). Không niêm yết giá dịch vụ (9/2024). Hệ thống liên tục tái phạm trong nhiều năm.</t>
  </si>
  <si>
    <t xml:space="preserve">Sở Hữu Trí Tuệ</t>
  </si>
  <si>
    <t xml:space="preserve">Quảng cáo dịch vụ y tế trái phép, bị Sở Y tế TP.HCM và Hà Nội xử phạt nhiều lần. Cảnh báo lừa đảo quảng cáo không đúng sự thật về chất lượng dịch vụ.</t>
  </si>
  <si>
    <t xml:space="preserve">Dịch Vụ Y Dược</t>
  </si>
  <si>
    <t xml:space="preserve">Bị Sở Y tế Hà Nội xử phạt hành chính (QĐ 248/QĐ-XPVPHC, 28/7/2022): hành nghề ngoài giờ đăng ký, phạt 8 triệu đồng. Quảng cáo thuốc chưa được Bộ Y tế cấp phép.</t>
  </si>
  <si>
    <t xml:space="preserve">Sức Khỏe Việt</t>
  </si>
  <si>
    <t xml:space="preserve">Bị Sở Y tế TP.HCM xử phạt 45 triệu đồng (6/2024) vì quảng cáo dịch vụ y tế không được cơ quan Nhà nước xác nhận nội dung. Liên tục tái phạm từ 2019-2024.</t>
  </si>
  <si>
    <t xml:space="preserve">Kenh14</t>
  </si>
  <si>
    <t xml:space="preserve">Công ty Lavender Sài Gòn (quản lý Lavender By Chang, gắn với Lý Thuỳ Chang và diễn viên Chi Bảo) bị nêu tên nợ thuế gần 1,1 tỷ đồng tại TP.HCM.</t>
  </si>
  <si>
    <t xml:space="preserve">TCTD.VN</t>
  </si>
  <si>
    <t xml:space="preserve">Viện thẩm mỹ Mega Kangnam (Quy Nhơn, Bình Định) bị xử phạt 45 triệu đồng và đình chỉ hoạt động 18 tháng (tháng 1/2026) vì phẫu thuật, thủ thuật không có giấy phép.</t>
  </si>
  <si>
    <t xml:space="preserve">Báo Gia Lai</t>
  </si>
  <si>
    <t xml:space="preserve">BV Kangnam Hà Nội bị xử phạt 45 triệu đồng vì quảng cáo dịch vụ khám chữa bệnh không được cơ quan Nhà nước xác nhận nội dung trước khi thực hiện.</t>
  </si>
  <si>
    <t xml:space="preserve">Thương Hiệu Công Luận</t>
  </si>
  <si>
    <t xml:space="preserve">BV Kangnam Sài Gòn không báo cáo sự cố y khoa theo quy định sau vụ tai biến hút mỡ (7/2024). Sở Y tế TP.HCM yêu cầu nghiêm túc rút kinh nghiệm.</t>
  </si>
  <si>
    <t xml:space="preserve">Báo Dân Trí</t>
  </si>
  <si>
    <t xml:space="preserve">Cơ sở thẩm mỹ Xuân Hương tại Mỹ Tho (Tiền Giang) bị dừng hoạt động (5/2025): không đăng ký kinh doanh, không có chứng chỉ hành nghề, tiêm filler/botox và nhấn mí trái phép.</t>
  </si>
  <si>
    <t xml:space="preserve">Tuổi Trẻ / VOV</t>
  </si>
  <si>
    <t xml:space="preserve">Thẩm mỹ quốc tế Bally cung cấp dịch vụ tiêm filler và trị nám chưa được cấp phép. Sở Y tế xác nhận vi phạm; quảng cáo vi phạm Luật Quảng cáo.</t>
  </si>
  <si>
    <t xml:space="preserve">Thương Trường</t>
  </si>
  <si>
    <t xml:space="preserve">Chi nhánh 185-187 Nguyễn Thái Học (Q.1, TP.HCM) bị phạt 94 triệu đồng, tước giấy phép hoạt động 3 tháng vì vượt phạm vi chuyên môn và lập hồ sơ bệnh nhân không đầy đủ.</t>
  </si>
  <si>
    <t xml:space="preserve">Thẩm mỹ Hồng Kông (51 Hàng Gà, Hoàn Kiếm, Hà Nội) ngang nhiên thực hiện dịch vụ laser trị mụn dù chưa được Sở Y tế Hà Nội cấp phép hoạt động phòng khám da liễu.</t>
  </si>
  <si>
    <t xml:space="preserve">Seoul Center (TP.HCM) bị phạt 49 triệu đồng vì quảng cáo dịch vụ y tế chưa được xác nhận nội dung. Phòng khám Seoul Center cũng bị phạt 30 triệu vì quảng cáo dùng từ 'nhất'.</t>
  </si>
  <si>
    <t xml:space="preserve">Thẩm mỹ Seoul ID (TP. Biên Hoà, Đồng Nai) bị phạt 87,5 triệu đồng và đình chỉ hoạt động 18 tháng vì hoạt động không phép, quảng cáo chưa có giấy phép hoạt động khám chữa bệnh.</t>
  </si>
  <si>
    <t xml:space="preserve">Đại Biểu Nhân Dân</t>
  </si>
  <si>
    <t xml:space="preserve">Nữ nhân viên Bệnh viện Thẩm mỹ Thu Cúc chiếm đoạt hơn 2,7 tỷ đồng của 116 khách hàng, lĩnh 10 năm tù giam. Chi nhánh tại TP.HCM bị phạt vì hành nghề vượt phạm vi.</t>
  </si>
  <si>
    <t xml:space="preserve">Báo Công An Nhân Dân</t>
  </si>
  <si>
    <t xml:space="preserve">Viện thẩm mỹ VietCharm</t>
  </si>
  <si>
    <t xml:space="preserve">-</t>
  </si>
  <si>
    <t xml:space="preserve">BÀI VIẾT / TIN MỚI - CẬP NHẬT NGÀY 27/06/2026</t>
  </si>
  <si>
    <t xml:space="preserve">Tiêu đề bài viết / Nội dung</t>
  </si>
  <si>
    <t xml:space="preserve">Kênh</t>
  </si>
  <si>
    <t xml:space="preserve">Ngày</t>
  </si>
  <si>
    <t xml:space="preserve">Loại nội dung</t>
  </si>
  <si>
    <t xml:space="preserve">Bệnh viện Tạo hình Thẩm mỹ Dr.Hải Lê chính thức đi vào hoạt động tại 217-231 Khuất Duy Tiến, Hà Nội. Bộ Y tế cấp phép sau 18 năm Dr.Hải Lê phát triển.</t>
  </si>
  <si>
    <t xml:space="preserve">Tuổi Trẻ Online</t>
  </si>
  <si>
    <t xml:space="preserve">24/03/2026</t>
  </si>
  <si>
    <t xml:space="preserve">Tin tức doanh nghiệp</t>
  </si>
  <si>
    <t xml:space="preserve">VietnamNet đưa tin: Bộ Y tế cấp phép hoạt động cho BV Tạo hình Thẩm mỹ Dr.Hải Lê - bệnh viện chuyên khoa tạo hình thẩm mỹ đầu tiên tại Hà Nội.</t>
  </si>
  <si>
    <t xml:space="preserve">VietnamNet</t>
  </si>
  <si>
    <t xml:space="preserve">23/03/2026</t>
  </si>
  <si>
    <t xml:space="preserve">Bác sĩ Hải Lê tham dự Hội nghị Phẫu thuật Tạo hình Châu Á (APS 2026) tại Hàn Quốc - thúc đẩy chuẩn hóa thẩm mỹ theo định hướng y khoa quốc tế.</t>
  </si>
  <si>
    <t xml:space="preserve">Website Dr.Hải Lê</t>
  </si>
  <si>
    <t xml:space="preserve">06/2026</t>
  </si>
  <si>
    <t xml:space="preserve">Hoạt động chuyên môn</t>
  </si>
  <si>
    <t xml:space="preserve">Lavender Sài Gòn (công ty quản lý Lavender By Chang, gắn với Lý Thuỳ Chang và Chi Bảo) bị nêu tên nợ thuế gần 1,1 tỷ đồng tại TP.HCM.</t>
  </si>
  <si>
    <t xml:space="preserve">2026</t>
  </si>
  <si>
    <t xml:space="preserve">Tin tài chính / Cảnh báo</t>
  </si>
  <si>
    <t xml:space="preserve">Phân tích loạt dấu hỏi tài chính trong hệ sinh thái thẩm mỹ Kangnam - bài viết trên Tieudung.vn.</t>
  </si>
  <si>
    <t xml:space="preserve">Tieudung.vn</t>
  </si>
  <si>
    <t xml:space="preserve">Phân tích thị trường</t>
  </si>
  <si>
    <t xml:space="preserve">Top 6 Thẩm Mỹ Viện Tân Bình uy tín 2026 - BV Kangnam được đề cử là thương hiệu bảo chứng chuẩn Hàn tại Việt Nam.</t>
  </si>
  <si>
    <t xml:space="preserve">YB Spa Blog</t>
  </si>
  <si>
    <t xml:space="preserve">Review / Đánh giá</t>
  </si>
  <si>
    <t xml:space="preserve">Ngọc Dung kỷ niệm 26 năm hoạt động với 18 chi nhánh toàn quốc; vinh danh Top 5 Thương hiệu mạnh ASEAN tại Singapore; tham gia Beauty Global 2026.</t>
  </si>
  <si>
    <t xml:space="preserve">Thanh Niên</t>
  </si>
  <si>
    <t xml:space="preserve">Hoạt động thương hiệu</t>
  </si>
  <si>
    <t xml:space="preserve">Thu Cúc lần 2 vinh danh 'đối tác kim cương' của Motiva (túi nâng ngực hàng đầu Hoa Kỳ). Hành trình 29 năm phát triển của hệ thống thẩm mỹ.</t>
  </si>
  <si>
    <t xml:space="preserve">VnExpress</t>
  </si>
  <si>
    <t xml:space="preserve">HƯỚNG DẪN IMPORT LÊN GOOGLE SHEETS</t>
  </si>
  <si>
    <t xml:space="preserve">BƯỚC 1</t>
  </si>
  <si>
    <t xml:space="preserve">Mở Google Drive tại https://drive.google.com</t>
  </si>
  <si>
    <t xml:space="preserve">BƯỚC 2</t>
  </si>
  <si>
    <t xml:space="preserve">Click nút '+ Mới' (New) ở góc trái → chọn 'Tải tệp lên' (File upload)</t>
  </si>
  <si>
    <t xml:space="preserve">BƯỚC 3</t>
  </si>
  <si>
    <t xml:space="preserve">Chọn file BaoCao_TheoDoi_ThamMy_2026-06-27.xlsx từ thư mục đã lưu</t>
  </si>
  <si>
    <t xml:space="preserve">BƯỚC 4</t>
  </si>
  <si>
    <t xml:space="preserve">Sau khi upload, click chuột phải vào file → chọn 'Mở bằng Google Trang tính'</t>
  </si>
  <si>
    <t xml:space="preserve">BƯỚC 5</t>
  </si>
  <si>
    <t xml:space="preserve">Vào File → Lưu dưới dạng Google Sheets để lưu bản Google Sheets gốc</t>
  </si>
  <si>
    <t xml:space="preserve">LƯU Ý</t>
  </si>
  <si>
    <t xml:space="preserve">Hyperlink trong cột 'URL Nguồn' hoạt động bình thường trong Google Sheets</t>
  </si>
  <si>
    <t xml:space="preserve">Màu sắc và định dạng được giữ nguyên sau khi import</t>
  </si>
  <si>
    <t xml:space="preserve">TỰ ĐỘNG HOÁ</t>
  </si>
  <si>
    <t xml:space="preserve">File báo cáo được tạo tự động mỗi ngày theo lịch đã thiết lập</t>
  </si>
  <si>
    <t xml:space="preserve">LIÊN HỆ</t>
  </si>
  <si>
    <t xml:space="preserve">Để nhận báo cáo qua email, liên hệ cấu hình Google Apps Script gửi tự động</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</si>
</sst>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444444"/>
      <name val="Arial"/>
      <family val="0"/>
      <charset val="1"/>
    </font>
    <font>
      <b val="true"/>
      <sz val="10"/>
      <color rgb="FFFFFFFF"/>
      <name val="Arial"/>
      <family val="0"/>
      <charset val="1"/>
    </font>
    <font>
      <sz val="10"/>
      <name val="Arial"/>
      <family val="0"/>
      <charset val="1"/>
    </font>
    <font>
      <b val="true"/>
      <sz val="10"/>
      <name val="Arial"/>
      <family val="0"/>
      <charset val="1"/>
    </font>
    <font>
      <b val="true"/>
      <sz val="13"/>
      <color rgb="FFFFFFFF"/>
      <name val="Arial"/>
      <family val="0"/>
      <charset val="1"/>
    </font>
    <font>
      <u val="single"/>
      <sz val="10"/>
      <color rgb="FF0563C1"/>
      <name val="Arial"/>
      <family val="0"/>
      <charset val="1"/>
    </font>
  </fonts>
  <fills count="13">
    <fill>
      <patternFill patternType="none"/>
    </fill>
    <fill>
      <patternFill patternType="gray125"/>
    </fill>
    <fill>
      <patternFill patternType="solid">
        <fgColor rgb="FF1F4E79"/>
        <bgColor rgb="FF003366"/>
      </patternFill>
    </fill>
    <fill>
      <patternFill patternType="solid">
        <fgColor rgb="FF2E75B6"/>
        <bgColor rgb="FF0563C1"/>
      </patternFill>
    </fill>
    <fill>
      <patternFill patternType="solid">
        <fgColor rgb="FFFFCCCC"/>
        <bgColor rgb="FFFFF2CC"/>
      </patternFill>
    </fill>
    <fill>
      <patternFill patternType="solid">
        <fgColor rgb="FFFFF2CC"/>
        <bgColor rgb="FFEBF1DE"/>
      </patternFill>
    </fill>
    <fill>
      <patternFill patternType="solid">
        <fgColor rgb="FFE2EFDA"/>
        <bgColor rgb="FFEBF1DE"/>
      </patternFill>
    </fill>
    <fill>
      <patternFill patternType="solid">
        <fgColor rgb="FFC00000"/>
        <bgColor rgb="FF800000"/>
      </patternFill>
    </fill>
    <fill>
      <patternFill patternType="solid">
        <fgColor rgb="FFCCFFCC"/>
        <bgColor rgb="FFE2EFDA"/>
      </patternFill>
    </fill>
    <fill>
      <patternFill patternType="solid">
        <fgColor rgb="FF375623"/>
        <bgColor rgb="FF444444"/>
      </patternFill>
    </fill>
    <fill>
      <patternFill patternType="solid">
        <fgColor rgb="FFDAEEF3"/>
        <bgColor rgb="FFE2EFDA"/>
      </patternFill>
    </fill>
    <fill>
      <patternFill patternType="solid">
        <fgColor rgb="FFF2F2F2"/>
        <bgColor rgb="FFEBF1DE"/>
      </patternFill>
    </fill>
    <fill>
      <patternFill patternType="solid">
        <fgColor rgb="FFEBF1DE"/>
        <bgColor rgb="FFE2EFDA"/>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9" fillId="7" borderId="0"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8" borderId="1" xfId="0" applyFont="true" applyBorder="true" applyAlignment="true" applyProtection="false">
      <alignment horizontal="left" vertical="top" textRotation="0" wrapText="true" indent="0" shrinkToFit="false"/>
      <protection locked="true" hidden="false"/>
    </xf>
    <xf numFmtId="164" fontId="10" fillId="8" borderId="1" xfId="0" applyFont="true" applyBorder="true" applyAlignment="true" applyProtection="false">
      <alignment horizontal="center" vertical="top" textRotation="0" wrapText="true" indent="0" shrinkToFit="false"/>
      <protection locked="true" hidden="false"/>
    </xf>
    <xf numFmtId="164" fontId="8" fillId="8" borderId="1" xfId="0" applyFont="true" applyBorder="true" applyAlignment="true" applyProtection="false">
      <alignment horizontal="center" vertical="top" textRotation="0" wrapText="false" indent="0" shrinkToFit="false"/>
      <protection locked="true" hidden="false"/>
    </xf>
    <xf numFmtId="164" fontId="9" fillId="9" borderId="0" xfId="0" applyFont="true" applyBorder="true" applyAlignment="true" applyProtection="false">
      <alignment horizontal="center" vertical="center" textRotation="0" wrapText="fals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xf numFmtId="164" fontId="8" fillId="10" borderId="1" xfId="0" applyFont="true" applyBorder="true" applyAlignment="true" applyProtection="false">
      <alignment horizontal="left" vertical="top" textRotation="0" wrapText="true" indent="0" shrinkToFit="false"/>
      <protection locked="true" hidden="false"/>
    </xf>
    <xf numFmtId="164" fontId="7" fillId="1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7" fillId="11"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center" vertical="top" textRotation="0" wrapText="true" indent="0" shrinkToFit="false"/>
      <protection locked="true" hidden="false"/>
    </xf>
    <xf numFmtId="164" fontId="8" fillId="12" borderId="1" xfId="0" applyFont="true" applyBorder="true" applyAlignment="true" applyProtection="false">
      <alignment horizontal="left" vertical="top" textRotation="0" wrapText="true" indent="0" shrinkToFit="false"/>
      <protection locked="true" hidden="false"/>
    </xf>
    <xf numFmtId="164" fontId="7" fillId="12"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AEEF3"/>
      <rgbColor rgb="FF660066"/>
      <rgbColor rgb="FFFF8080"/>
      <rgbColor rgb="FF0563C1"/>
      <rgbColor rgb="FFF2F2F2"/>
      <rgbColor rgb="FF000080"/>
      <rgbColor rgb="FFFF00FF"/>
      <rgbColor rgb="FFFFFF00"/>
      <rgbColor rgb="FF00FFFF"/>
      <rgbColor rgb="FF800080"/>
      <rgbColor rgb="FF800000"/>
      <rgbColor rgb="FF008080"/>
      <rgbColor rgb="FF0000FF"/>
      <rgbColor rgb="FF00CCFF"/>
      <rgbColor rgb="FFE2EFDA"/>
      <rgbColor rgb="FFCCFFCC"/>
      <rgbColor rgb="FFEBF1DE"/>
      <rgbColor rgb="FF99CCFF"/>
      <rgbColor rgb="FFFF99CC"/>
      <rgbColor rgb="FFCC99FF"/>
      <rgbColor rgb="FFFFCCCC"/>
      <rgbColor rgb="FF2E75B6"/>
      <rgbColor rgb="FF33CCCC"/>
      <rgbColor rgb="FF99CC00"/>
      <rgbColor rgb="FFFFCC00"/>
      <rgbColor rgb="FFFF9900"/>
      <rgbColor rgb="FFFF6600"/>
      <rgbColor rgb="FF666699"/>
      <rgbColor rgb="FF969696"/>
      <rgbColor rgb="FF003366"/>
      <rgbColor rgb="FF339966"/>
      <rgbColor rgb="FF003300"/>
      <rgbColor rgb="FF375623"/>
      <rgbColor rgb="FF993300"/>
      <rgbColor rgb="FF993366"/>
      <rgbColor rgb="FF1F4E7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6"/>
    <col collapsed="false" customWidth="true" hidden="false" outlineLevel="0" max="3" min="3" style="0" width="14"/>
    <col collapsed="false" customWidth="true" hidden="false" outlineLevel="0" max="5" min="4" style="0" width="16"/>
    <col collapsed="false" customWidth="true" hidden="false" outlineLevel="0" max="6" min="6" style="0" width="55"/>
    <col collapsed="false" customWidth="true" hidden="false" outlineLevel="0" max="7" min="7" style="0" width="18"/>
  </cols>
  <sheetData>
    <row r="1" customFormat="false" ht="31.5" hidden="false" customHeight="true" outlineLevel="0" collapsed="false">
      <c r="A1" s="1" t="s">
        <v>0</v>
      </c>
      <c r="B1" s="1"/>
      <c r="C1" s="1"/>
      <c r="D1" s="1"/>
      <c r="E1" s="1"/>
      <c r="F1" s="1"/>
      <c r="G1" s="1"/>
    </row>
    <row r="2" customFormat="false" ht="18" hidden="false" customHeight="true" outlineLevel="0" collapsed="false">
      <c r="A2" s="2" t="s">
        <v>1</v>
      </c>
      <c r="B2" s="2"/>
      <c r="C2" s="2"/>
      <c r="D2" s="2"/>
      <c r="E2" s="2"/>
      <c r="F2" s="2"/>
      <c r="G2" s="2"/>
    </row>
    <row r="3" customFormat="false" ht="21.75" hidden="false" customHeight="true" outlineLevel="0" collapsed="false">
      <c r="A3" s="3" t="s">
        <v>2</v>
      </c>
      <c r="B3" s="3" t="s">
        <v>3</v>
      </c>
      <c r="C3" s="3" t="s">
        <v>4</v>
      </c>
      <c r="D3" s="3" t="s">
        <v>5</v>
      </c>
      <c r="E3" s="3" t="s">
        <v>6</v>
      </c>
      <c r="F3" s="3" t="s">
        <v>7</v>
      </c>
      <c r="G3" s="3" t="s">
        <v>8</v>
      </c>
    </row>
    <row r="4" customFormat="false" ht="31.5" hidden="false" customHeight="true" outlineLevel="0" collapsed="false">
      <c r="A4" s="4" t="n">
        <v>1</v>
      </c>
      <c r="B4" s="5" t="s">
        <v>9</v>
      </c>
      <c r="C4" s="4" t="n">
        <v>2</v>
      </c>
      <c r="D4" s="4" t="n">
        <v>0</v>
      </c>
      <c r="E4" s="6" t="s">
        <v>10</v>
      </c>
      <c r="F4" s="7" t="s">
        <v>11</v>
      </c>
      <c r="G4" s="4" t="s">
        <v>12</v>
      </c>
    </row>
    <row r="5" customFormat="false" ht="31.5" hidden="false" customHeight="true" outlineLevel="0" collapsed="false">
      <c r="A5" s="8" t="n">
        <v>2</v>
      </c>
      <c r="B5" s="9" t="s">
        <v>13</v>
      </c>
      <c r="C5" s="8" t="n">
        <v>1</v>
      </c>
      <c r="D5" s="8" t="n">
        <v>0</v>
      </c>
      <c r="E5" s="10" t="s">
        <v>14</v>
      </c>
      <c r="F5" s="11" t="s">
        <v>15</v>
      </c>
      <c r="G5" s="8" t="s">
        <v>12</v>
      </c>
    </row>
    <row r="6" customFormat="false" ht="31.5" hidden="false" customHeight="true" outlineLevel="0" collapsed="false">
      <c r="A6" s="4" t="n">
        <v>3</v>
      </c>
      <c r="B6" s="5" t="s">
        <v>16</v>
      </c>
      <c r="C6" s="4" t="n">
        <v>2</v>
      </c>
      <c r="D6" s="4" t="n">
        <v>1</v>
      </c>
      <c r="E6" s="6" t="s">
        <v>10</v>
      </c>
      <c r="F6" s="7" t="s">
        <v>17</v>
      </c>
      <c r="G6" s="4" t="s">
        <v>12</v>
      </c>
    </row>
    <row r="7" customFormat="false" ht="31.5" hidden="false" customHeight="true" outlineLevel="0" collapsed="false">
      <c r="A7" s="4" t="n">
        <v>4</v>
      </c>
      <c r="B7" s="5" t="s">
        <v>18</v>
      </c>
      <c r="C7" s="4" t="n">
        <v>3</v>
      </c>
      <c r="D7" s="4" t="n">
        <v>2</v>
      </c>
      <c r="E7" s="6" t="s">
        <v>10</v>
      </c>
      <c r="F7" s="7" t="s">
        <v>19</v>
      </c>
      <c r="G7" s="4" t="s">
        <v>20</v>
      </c>
    </row>
    <row r="8" customFormat="false" ht="31.5" hidden="false" customHeight="true" outlineLevel="0" collapsed="false">
      <c r="A8" s="8" t="n">
        <v>5</v>
      </c>
      <c r="B8" s="9" t="s">
        <v>21</v>
      </c>
      <c r="C8" s="8" t="n">
        <v>1</v>
      </c>
      <c r="D8" s="8" t="n">
        <v>0</v>
      </c>
      <c r="E8" s="10" t="s">
        <v>14</v>
      </c>
      <c r="F8" s="11" t="s">
        <v>22</v>
      </c>
      <c r="G8" s="8" t="s">
        <v>12</v>
      </c>
    </row>
    <row r="9" customFormat="false" ht="31.5" hidden="false" customHeight="true" outlineLevel="0" collapsed="false">
      <c r="A9" s="12" t="n">
        <v>6</v>
      </c>
      <c r="B9" s="13" t="s">
        <v>23</v>
      </c>
      <c r="C9" s="12" t="n">
        <v>1</v>
      </c>
      <c r="D9" s="12" t="n">
        <v>0</v>
      </c>
      <c r="E9" s="14" t="s">
        <v>24</v>
      </c>
      <c r="F9" s="15" t="s">
        <v>25</v>
      </c>
      <c r="G9" s="12" t="s">
        <v>26</v>
      </c>
    </row>
    <row r="10" customFormat="false" ht="31.5" hidden="false" customHeight="true" outlineLevel="0" collapsed="false">
      <c r="A10" s="12" t="n">
        <v>7</v>
      </c>
      <c r="B10" s="13" t="s">
        <v>27</v>
      </c>
      <c r="C10" s="12" t="n">
        <v>0</v>
      </c>
      <c r="D10" s="12" t="n">
        <v>3</v>
      </c>
      <c r="E10" s="14" t="s">
        <v>24</v>
      </c>
      <c r="F10" s="15" t="s">
        <v>28</v>
      </c>
      <c r="G10" s="12" t="s">
        <v>29</v>
      </c>
    </row>
    <row r="11" customFormat="false" ht="31.5" hidden="false" customHeight="true" outlineLevel="0" collapsed="false">
      <c r="A11" s="8" t="n">
        <v>8</v>
      </c>
      <c r="B11" s="9" t="s">
        <v>30</v>
      </c>
      <c r="C11" s="8" t="n">
        <v>1</v>
      </c>
      <c r="D11" s="8" t="n">
        <v>1</v>
      </c>
      <c r="E11" s="10" t="s">
        <v>14</v>
      </c>
      <c r="F11" s="11" t="s">
        <v>31</v>
      </c>
      <c r="G11" s="8" t="s">
        <v>12</v>
      </c>
    </row>
    <row r="12" customFormat="false" ht="31.5" hidden="false" customHeight="true" outlineLevel="0" collapsed="false">
      <c r="A12" s="12" t="n">
        <v>9</v>
      </c>
      <c r="B12" s="13" t="s">
        <v>32</v>
      </c>
      <c r="C12" s="12" t="n">
        <v>0</v>
      </c>
      <c r="D12" s="12" t="n">
        <v>0</v>
      </c>
      <c r="E12" s="14" t="s">
        <v>24</v>
      </c>
      <c r="F12" s="15" t="s">
        <v>33</v>
      </c>
      <c r="G12" s="12" t="s">
        <v>29</v>
      </c>
    </row>
    <row r="13" customFormat="false" ht="31.5" hidden="false" customHeight="true" outlineLevel="0" collapsed="false">
      <c r="A13" s="12" t="n">
        <v>10</v>
      </c>
      <c r="B13" s="13" t="s">
        <v>34</v>
      </c>
      <c r="C13" s="12" t="n">
        <v>0</v>
      </c>
      <c r="D13" s="12" t="n">
        <v>0</v>
      </c>
      <c r="E13" s="14" t="s">
        <v>24</v>
      </c>
      <c r="F13" s="15" t="s">
        <v>33</v>
      </c>
      <c r="G13" s="12" t="s">
        <v>29</v>
      </c>
    </row>
    <row r="14" customFormat="false" ht="31.5" hidden="false" customHeight="true" outlineLevel="0" collapsed="false">
      <c r="A14" s="12" t="n">
        <v>11</v>
      </c>
      <c r="B14" s="13" t="s">
        <v>35</v>
      </c>
      <c r="C14" s="12" t="n">
        <v>0</v>
      </c>
      <c r="D14" s="12" t="n">
        <v>0</v>
      </c>
      <c r="E14" s="14" t="s">
        <v>24</v>
      </c>
      <c r="F14" s="15" t="s">
        <v>33</v>
      </c>
      <c r="G14" s="12" t="s">
        <v>29</v>
      </c>
    </row>
    <row r="15" customFormat="false" ht="31.5" hidden="false" customHeight="true" outlineLevel="0" collapsed="false">
      <c r="A15" s="8" t="n">
        <v>12</v>
      </c>
      <c r="B15" s="9" t="s">
        <v>36</v>
      </c>
      <c r="C15" s="8" t="n">
        <v>1</v>
      </c>
      <c r="D15" s="8" t="n">
        <v>0</v>
      </c>
      <c r="E15" s="10" t="s">
        <v>14</v>
      </c>
      <c r="F15" s="11" t="s">
        <v>37</v>
      </c>
      <c r="G15" s="8" t="s">
        <v>12</v>
      </c>
    </row>
    <row r="16" customFormat="false" ht="31.5" hidden="false" customHeight="true" outlineLevel="0" collapsed="false">
      <c r="A16" s="4" t="n">
        <v>13</v>
      </c>
      <c r="B16" s="5" t="s">
        <v>38</v>
      </c>
      <c r="C16" s="4" t="n">
        <v>2</v>
      </c>
      <c r="D16" s="4" t="n">
        <v>0</v>
      </c>
      <c r="E16" s="6" t="s">
        <v>10</v>
      </c>
      <c r="F16" s="7" t="s">
        <v>39</v>
      </c>
      <c r="G16" s="4" t="s">
        <v>20</v>
      </c>
    </row>
    <row r="17" customFormat="false" ht="31.5" hidden="false" customHeight="true" outlineLevel="0" collapsed="false">
      <c r="A17" s="8" t="n">
        <v>14</v>
      </c>
      <c r="B17" s="9" t="s">
        <v>40</v>
      </c>
      <c r="C17" s="8" t="n">
        <v>1</v>
      </c>
      <c r="D17" s="8" t="n">
        <v>1</v>
      </c>
      <c r="E17" s="10" t="s">
        <v>14</v>
      </c>
      <c r="F17" s="11" t="s">
        <v>41</v>
      </c>
      <c r="G17" s="8" t="s">
        <v>12</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0"/>
    <col collapsed="false" customWidth="true" hidden="false" outlineLevel="0" max="4" min="4" style="0" width="25"/>
    <col collapsed="false" customWidth="true" hidden="false" outlineLevel="0" max="5" min="5" style="0" width="55"/>
    <col collapsed="false" customWidth="true" hidden="false" outlineLevel="0" max="6" min="6" style="0" width="14"/>
  </cols>
  <sheetData>
    <row r="1" customFormat="false" ht="27.75" hidden="false" customHeight="true" outlineLevel="0" collapsed="false">
      <c r="A1" s="16" t="s">
        <v>42</v>
      </c>
      <c r="B1" s="16"/>
      <c r="C1" s="16"/>
      <c r="D1" s="16"/>
      <c r="E1" s="16"/>
      <c r="F1" s="16"/>
    </row>
    <row r="2" customFormat="false" ht="19.5" hidden="false" customHeight="true" outlineLevel="0" collapsed="false">
      <c r="A2" s="17" t="s">
        <v>2</v>
      </c>
      <c r="B2" s="17" t="s">
        <v>3</v>
      </c>
      <c r="C2" s="17" t="s">
        <v>43</v>
      </c>
      <c r="D2" s="17" t="s">
        <v>44</v>
      </c>
      <c r="E2" s="17" t="s">
        <v>45</v>
      </c>
      <c r="F2" s="17" t="s">
        <v>46</v>
      </c>
    </row>
    <row r="3" customFormat="false" ht="48" hidden="false" customHeight="true" outlineLevel="0" collapsed="false">
      <c r="A3" s="4" t="n">
        <v>1</v>
      </c>
      <c r="B3" s="7" t="s">
        <v>9</v>
      </c>
      <c r="C3" s="7" t="s">
        <v>47</v>
      </c>
      <c r="D3" s="7" t="s">
        <v>48</v>
      </c>
      <c r="E3" s="18" t="str">
        <f aca="false">HYPERLINK("https://sohuutritue.net.vn/tham-my-vien-kangjin-tiep-tuc-bi-xu-phat-d149698.html","Xem nguồn")</f>
        <v>Xem nguồn</v>
      </c>
      <c r="F3" s="19" t="s">
        <v>10</v>
      </c>
    </row>
    <row r="4" customFormat="false" ht="48" hidden="false" customHeight="true" outlineLevel="0" collapsed="false">
      <c r="A4" s="4" t="n">
        <v>2</v>
      </c>
      <c r="B4" s="7" t="s">
        <v>9</v>
      </c>
      <c r="C4" s="7" t="s">
        <v>49</v>
      </c>
      <c r="D4" s="7" t="s">
        <v>50</v>
      </c>
      <c r="E4" s="18" t="str">
        <f aca="false">HYPERLINK("https://dichvuyduoc.net/tham-my-vien-kangjin-vi-pham/","Xem nguồn")</f>
        <v>Xem nguồn</v>
      </c>
      <c r="F4" s="19" t="s">
        <v>10</v>
      </c>
    </row>
    <row r="5" customFormat="false" ht="48" hidden="false" customHeight="true" outlineLevel="0" collapsed="false">
      <c r="A5" s="8" t="n">
        <v>3</v>
      </c>
      <c r="B5" s="11" t="s">
        <v>13</v>
      </c>
      <c r="C5" s="11" t="s">
        <v>51</v>
      </c>
      <c r="D5" s="11" t="s">
        <v>52</v>
      </c>
      <c r="E5" s="20" t="str">
        <f aca="false">HYPERLINK("https://suckhoeviet.org.vn/tham-my-thanh-hang-beauty-medi-bi-so-y-te-xu-phat-do-vi-pham-trong-kham-chua-benh-801.html","Xem nguồn")</f>
        <v>Xem nguồn</v>
      </c>
      <c r="F5" s="21" t="s">
        <v>14</v>
      </c>
    </row>
    <row r="6" customFormat="false" ht="48" hidden="false" customHeight="true" outlineLevel="0" collapsed="false">
      <c r="A6" s="4" t="n">
        <v>4</v>
      </c>
      <c r="B6" s="7" t="s">
        <v>16</v>
      </c>
      <c r="C6" s="7" t="s">
        <v>53</v>
      </c>
      <c r="D6" s="7" t="s">
        <v>54</v>
      </c>
      <c r="E6" s="18" t="str">
        <f aca="false">HYPERLINK("https://kenh14.vn/vien-tham-my-lavender-by-chang-lien-tuc-bi-so-y-te-tphcm-xu-phat-21525042907354422.chn","Xem nguồn")</f>
        <v>Xem nguồn</v>
      </c>
      <c r="F6" s="19" t="s">
        <v>10</v>
      </c>
    </row>
    <row r="7" customFormat="false" ht="48" hidden="false" customHeight="true" outlineLevel="0" collapsed="false">
      <c r="A7" s="8" t="n">
        <v>5</v>
      </c>
      <c r="B7" s="11" t="s">
        <v>16</v>
      </c>
      <c r="C7" s="11" t="s">
        <v>55</v>
      </c>
      <c r="D7" s="11" t="s">
        <v>56</v>
      </c>
      <c r="E7" s="20" t="str">
        <f aca="false">HYPERLINK("https://tctd.vn/lavender-sai-gon-cong-ty-gan-voi-ly-thuy-chang-va-dien-vien-chi-bao-bi-neu-ten-no-thue-a8436.html","Xem nguồn")</f>
        <v>Xem nguồn</v>
      </c>
      <c r="F7" s="21" t="s">
        <v>14</v>
      </c>
    </row>
    <row r="8" customFormat="false" ht="48" hidden="false" customHeight="true" outlineLevel="0" collapsed="false">
      <c r="A8" s="4" t="n">
        <v>6</v>
      </c>
      <c r="B8" s="7" t="s">
        <v>18</v>
      </c>
      <c r="C8" s="7" t="s">
        <v>57</v>
      </c>
      <c r="D8" s="7" t="s">
        <v>58</v>
      </c>
      <c r="E8" s="18" t="str">
        <f aca="false">HYPERLINK("https://baogialai.com.vn/xu-phat-50-trieu-dong-doi-voi-vien-tham-my-mega-kangnam-post346185.html","Xem nguồn")</f>
        <v>Xem nguồn</v>
      </c>
      <c r="F8" s="19" t="s">
        <v>10</v>
      </c>
    </row>
    <row r="9" customFormat="false" ht="48" hidden="false" customHeight="true" outlineLevel="0" collapsed="false">
      <c r="A9" s="4" t="n">
        <v>7</v>
      </c>
      <c r="B9" s="7" t="s">
        <v>18</v>
      </c>
      <c r="C9" s="7" t="s">
        <v>59</v>
      </c>
      <c r="D9" s="7" t="s">
        <v>60</v>
      </c>
      <c r="E9" s="18" t="str">
        <f aca="false">HYPERLINK("https://hangthat.thuonghieucongluan.com.vn/vi-pham-quang-cao-benh-vien-tham-my-kangnam-ha-noi-bi-phat-45-trieu-dong-a92435.html","Xem nguồn")</f>
        <v>Xem nguồn</v>
      </c>
      <c r="F9" s="19" t="s">
        <v>10</v>
      </c>
    </row>
    <row r="10" customFormat="false" ht="48" hidden="false" customHeight="true" outlineLevel="0" collapsed="false">
      <c r="A10" s="4" t="n">
        <v>8</v>
      </c>
      <c r="B10" s="7" t="s">
        <v>18</v>
      </c>
      <c r="C10" s="7" t="s">
        <v>61</v>
      </c>
      <c r="D10" s="7" t="s">
        <v>62</v>
      </c>
      <c r="E10" s="18" t="str">
        <f aca="false">HYPERLINK("https://dantri.com.vn/suc-khoe/vu-cap-cuu-sau-hut-mo-bv-kangnam-sai-gon-khong-bao-cao-su-co-theo-quy-dinh-20240703123257000.htm","Xem nguồn")</f>
        <v>Xem nguồn</v>
      </c>
      <c r="F10" s="19" t="s">
        <v>10</v>
      </c>
    </row>
    <row r="11" customFormat="false" ht="48" hidden="false" customHeight="true" outlineLevel="0" collapsed="false">
      <c r="A11" s="8" t="n">
        <v>9</v>
      </c>
      <c r="B11" s="11" t="s">
        <v>21</v>
      </c>
      <c r="C11" s="11" t="s">
        <v>63</v>
      </c>
      <c r="D11" s="11" t="s">
        <v>64</v>
      </c>
      <c r="E11" s="20" t="str">
        <f aca="false">HYPERLINK("https://tuoitre.vn/dung-hoat-dong-co-so-kinh-doanh-tham-my-xuan-huong-o-my-tho-20250526085936039.htm","Xem nguồn")</f>
        <v>Xem nguồn</v>
      </c>
      <c r="F11" s="21" t="s">
        <v>14</v>
      </c>
    </row>
    <row r="12" customFormat="false" ht="48" hidden="false" customHeight="true" outlineLevel="0" collapsed="false">
      <c r="A12" s="22" t="n">
        <v>10</v>
      </c>
      <c r="B12" s="23" t="s">
        <v>23</v>
      </c>
      <c r="C12" s="23" t="s">
        <v>65</v>
      </c>
      <c r="D12" s="23" t="s">
        <v>66</v>
      </c>
      <c r="E12" s="24" t="str">
        <f aca="false">HYPERLINK("https://thuongtruong.com.vn/news/tham-my-quoc-te-bally-cung-cap-dich-vu-tiem-filler-tri-nam-chua-duoc-cap-phep-8166.html","Xem nguồn")</f>
        <v>Xem nguồn</v>
      </c>
      <c r="F12" s="25" t="s">
        <v>24</v>
      </c>
    </row>
    <row r="13" customFormat="false" ht="48" hidden="false" customHeight="true" outlineLevel="0" collapsed="false">
      <c r="A13" s="8" t="n">
        <v>11</v>
      </c>
      <c r="B13" s="11" t="s">
        <v>30</v>
      </c>
      <c r="C13" s="11" t="s">
        <v>67</v>
      </c>
      <c r="D13" s="11" t="s">
        <v>60</v>
      </c>
      <c r="E13" s="20" t="str">
        <f aca="false">HYPERLINK("https://thuonghieucongluan.com.vn/cong-ty-tnhh-tham-my-ngoc-dung-bi-xu-phat-94-trieu-dong-tuoc-giay-phep-hoat-dong-03-thang-a183289.html","Xem nguồn")</f>
        <v>Xem nguồn</v>
      </c>
      <c r="F13" s="21" t="s">
        <v>14</v>
      </c>
    </row>
    <row r="14" customFormat="false" ht="48" hidden="false" customHeight="true" outlineLevel="0" collapsed="false">
      <c r="A14" s="8" t="n">
        <v>12</v>
      </c>
      <c r="B14" s="11" t="s">
        <v>36</v>
      </c>
      <c r="C14" s="11" t="s">
        <v>68</v>
      </c>
      <c r="D14" s="11" t="s">
        <v>52</v>
      </c>
      <c r="E14" s="20" t="str">
        <f aca="false">HYPERLINK("https://suckhoeviet.org.vn/tham-my-hong-kong-51-hang-ga-ha-noi-ngang-nhien-thuc-hien-dich-vu-khong-duoc-cap-phep-khach-hang-can-than-trong-3680.html","Xem nguồn")</f>
        <v>Xem nguồn</v>
      </c>
      <c r="F14" s="21" t="s">
        <v>14</v>
      </c>
    </row>
    <row r="15" customFormat="false" ht="48" hidden="false" customHeight="true" outlineLevel="0" collapsed="false">
      <c r="A15" s="4" t="n">
        <v>13</v>
      </c>
      <c r="B15" s="7" t="s">
        <v>38</v>
      </c>
      <c r="C15" s="7" t="s">
        <v>69</v>
      </c>
      <c r="D15" s="7" t="s">
        <v>66</v>
      </c>
      <c r="E15" s="18" t="str">
        <f aca="false">HYPERLINK("https://thuongtruong.com.vn/news/tham-my-quoc-te-seoul-center-tiep-tuc-bi-xu-phat-vi-vi-pham-ve-quang-cao-128953.html","Xem nguồn")</f>
        <v>Xem nguồn</v>
      </c>
      <c r="F15" s="19" t="s">
        <v>10</v>
      </c>
    </row>
    <row r="16" customFormat="false" ht="48" hidden="false" customHeight="true" outlineLevel="0" collapsed="false">
      <c r="A16" s="4" t="n">
        <v>14</v>
      </c>
      <c r="B16" s="7" t="s">
        <v>38</v>
      </c>
      <c r="C16" s="7" t="s">
        <v>70</v>
      </c>
      <c r="D16" s="7" t="s">
        <v>71</v>
      </c>
      <c r="E16" s="18" t="str">
        <f aca="false">HYPERLINK("https://daibieunhandan.vn/dong-nai-tham-my-seoul-id-o-bien-hoa-bi-dinh-chi-18-thang-phat-gan-90-trieu-dong-post397440.html","Xem nguồn")</f>
        <v>Xem nguồn</v>
      </c>
      <c r="F16" s="19" t="s">
        <v>10</v>
      </c>
    </row>
    <row r="17" customFormat="false" ht="48" hidden="false" customHeight="true" outlineLevel="0" collapsed="false">
      <c r="A17" s="8" t="n">
        <v>15</v>
      </c>
      <c r="B17" s="11" t="s">
        <v>40</v>
      </c>
      <c r="C17" s="11" t="s">
        <v>72</v>
      </c>
      <c r="D17" s="11" t="s">
        <v>73</v>
      </c>
      <c r="E17" s="20" t="str">
        <f aca="false">HYPERLINK("https://cand.com.vn/ban-tin-113/chiem-doat-hon-2-7-ty-dong-nu-nhan-vien-benh-vien-tham-my-thu-cuc-linh-10-nam-tu-i717154/","Xem nguồn")</f>
        <v>Xem nguồn</v>
      </c>
      <c r="F17" s="21" t="s">
        <v>14</v>
      </c>
    </row>
    <row r="18" customFormat="false" ht="48" hidden="false" customHeight="true" outlineLevel="0" collapsed="false">
      <c r="A18" s="22" t="n">
        <v>16</v>
      </c>
      <c r="B18" s="23" t="s">
        <v>74</v>
      </c>
      <c r="C18" s="23" t="s">
        <v>33</v>
      </c>
      <c r="D18" s="23" t="s">
        <v>75</v>
      </c>
      <c r="E18" s="22" t="s">
        <v>75</v>
      </c>
      <c r="F18" s="25" t="s">
        <v>24</v>
      </c>
    </row>
    <row r="19" customFormat="false" ht="48" hidden="false" customHeight="true" outlineLevel="0" collapsed="false">
      <c r="A19" s="22" t="n">
        <v>17</v>
      </c>
      <c r="B19" s="23" t="s">
        <v>34</v>
      </c>
      <c r="C19" s="23" t="s">
        <v>33</v>
      </c>
      <c r="D19" s="23" t="s">
        <v>75</v>
      </c>
      <c r="E19" s="22" t="s">
        <v>75</v>
      </c>
      <c r="F19" s="25" t="s">
        <v>24</v>
      </c>
    </row>
    <row r="20" customFormat="false" ht="48" hidden="false" customHeight="true" outlineLevel="0" collapsed="false">
      <c r="A20" s="22" t="n">
        <v>18</v>
      </c>
      <c r="B20" s="23" t="s">
        <v>35</v>
      </c>
      <c r="C20" s="23" t="s">
        <v>33</v>
      </c>
      <c r="D20" s="23" t="s">
        <v>75</v>
      </c>
      <c r="E20" s="22" t="s">
        <v>75</v>
      </c>
      <c r="F20" s="25" t="s">
        <v>24</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65"/>
    <col collapsed="false" customWidth="true" hidden="false" outlineLevel="0" max="4" min="4" style="0" width="22"/>
    <col collapsed="false" customWidth="true" hidden="false" outlineLevel="0" max="5" min="5" style="0" width="55"/>
    <col collapsed="false" customWidth="true" hidden="false" outlineLevel="0" max="6" min="6" style="0" width="14"/>
    <col collapsed="false" customWidth="true" hidden="false" outlineLevel="0" max="7" min="7" style="0" width="22"/>
  </cols>
  <sheetData>
    <row r="1" customFormat="false" ht="27.75" hidden="false" customHeight="true" outlineLevel="0" collapsed="false">
      <c r="A1" s="26" t="s">
        <v>76</v>
      </c>
      <c r="B1" s="26"/>
      <c r="C1" s="26"/>
      <c r="D1" s="26"/>
      <c r="E1" s="26"/>
      <c r="F1" s="26"/>
      <c r="G1" s="26"/>
    </row>
    <row r="2" customFormat="false" ht="19.5" hidden="false" customHeight="true" outlineLevel="0" collapsed="false">
      <c r="A2" s="27" t="s">
        <v>2</v>
      </c>
      <c r="B2" s="27" t="s">
        <v>3</v>
      </c>
      <c r="C2" s="27" t="s">
        <v>77</v>
      </c>
      <c r="D2" s="27" t="s">
        <v>78</v>
      </c>
      <c r="E2" s="27" t="s">
        <v>45</v>
      </c>
      <c r="F2" s="27" t="s">
        <v>79</v>
      </c>
      <c r="G2" s="27" t="s">
        <v>80</v>
      </c>
    </row>
    <row r="3" customFormat="false" ht="43.5" hidden="false" customHeight="true" outlineLevel="0" collapsed="false">
      <c r="A3" s="28" t="n">
        <v>1</v>
      </c>
      <c r="B3" s="29" t="s">
        <v>27</v>
      </c>
      <c r="C3" s="30" t="s">
        <v>81</v>
      </c>
      <c r="D3" s="30" t="s">
        <v>82</v>
      </c>
      <c r="E3" s="31" t="str">
        <f aca="false">HYPERLINK("https://tuoitre.vn/benh-vien-tao-hinh-tham-my-dr-hai-le-chinh-thuc-di-vao-hoat-dong-20260324164539872.htm","Đọc bài")</f>
        <v>Đọc bài</v>
      </c>
      <c r="F3" s="28" t="s">
        <v>83</v>
      </c>
      <c r="G3" s="30" t="s">
        <v>84</v>
      </c>
    </row>
    <row r="4" customFormat="false" ht="43.5" hidden="false" customHeight="true" outlineLevel="0" collapsed="false">
      <c r="A4" s="28" t="n">
        <v>2</v>
      </c>
      <c r="B4" s="29" t="s">
        <v>27</v>
      </c>
      <c r="C4" s="30" t="s">
        <v>85</v>
      </c>
      <c r="D4" s="30" t="s">
        <v>86</v>
      </c>
      <c r="E4" s="31" t="str">
        <f aca="false">HYPERLINK("https://vietnamnet.vn/benh-vien-tao-hinh-tham-my-dr-hai-le-duoc-cap-phep-hoat-dong-2499720.html","Đọc bài")</f>
        <v>Đọc bài</v>
      </c>
      <c r="F4" s="28" t="s">
        <v>87</v>
      </c>
      <c r="G4" s="30" t="s">
        <v>84</v>
      </c>
    </row>
    <row r="5" customFormat="false" ht="43.5" hidden="false" customHeight="true" outlineLevel="0" collapsed="false">
      <c r="A5" s="28" t="n">
        <v>3</v>
      </c>
      <c r="B5" s="29" t="s">
        <v>27</v>
      </c>
      <c r="C5" s="30" t="s">
        <v>88</v>
      </c>
      <c r="D5" s="30" t="s">
        <v>89</v>
      </c>
      <c r="E5" s="31" t="str">
        <f aca="false">HYPERLINK("https://drhaile.vn/bac-si-hai-le-tham-du-aps-2026-tai-han-quoc-thuc-day-chuan-hoa-tham-my-theo-dinh-huong-y-khoa/","Đọc bài")</f>
        <v>Đọc bài</v>
      </c>
      <c r="F5" s="28" t="s">
        <v>90</v>
      </c>
      <c r="G5" s="30" t="s">
        <v>91</v>
      </c>
    </row>
    <row r="6" customFormat="false" ht="43.5" hidden="false" customHeight="true" outlineLevel="0" collapsed="false">
      <c r="A6" s="8" t="n">
        <v>4</v>
      </c>
      <c r="B6" s="9" t="s">
        <v>16</v>
      </c>
      <c r="C6" s="11" t="s">
        <v>92</v>
      </c>
      <c r="D6" s="11" t="s">
        <v>56</v>
      </c>
      <c r="E6" s="31" t="str">
        <f aca="false">HYPERLINK("https://tctd.vn/lavender-sai-gon-cong-ty-gan-voi-ly-thuy-chang-va-dien-vien-chi-bao-bi-neu-ten-no-thue-a8436.html","Đọc bài")</f>
        <v>Đọc bài</v>
      </c>
      <c r="F6" s="8" t="s">
        <v>93</v>
      </c>
      <c r="G6" s="11" t="s">
        <v>94</v>
      </c>
    </row>
    <row r="7" customFormat="false" ht="43.5" hidden="false" customHeight="true" outlineLevel="0" collapsed="false">
      <c r="A7" s="12" t="n">
        <v>5</v>
      </c>
      <c r="B7" s="13" t="s">
        <v>18</v>
      </c>
      <c r="C7" s="15" t="s">
        <v>95</v>
      </c>
      <c r="D7" s="15" t="s">
        <v>96</v>
      </c>
      <c r="E7" s="31" t="str">
        <f aca="false">HYPERLINK("https://tieudung.vn/loat-dau-hoi-tai-chinh-trong-he-sinh-thai-tham-my-kangnam-71586","Đọc bài")</f>
        <v>Đọc bài</v>
      </c>
      <c r="F7" s="12" t="s">
        <v>93</v>
      </c>
      <c r="G7" s="15" t="s">
        <v>97</v>
      </c>
    </row>
    <row r="8" customFormat="false" ht="43.5" hidden="false" customHeight="true" outlineLevel="0" collapsed="false">
      <c r="A8" s="32" t="n">
        <v>6</v>
      </c>
      <c r="B8" s="33" t="s">
        <v>18</v>
      </c>
      <c r="C8" s="34" t="s">
        <v>98</v>
      </c>
      <c r="D8" s="34" t="s">
        <v>99</v>
      </c>
      <c r="E8" s="31" t="str">
        <f aca="false">HYPERLINK("https://ybspa.vn/tham-my-vien-tan-binh/","Đọc bài")</f>
        <v>Đọc bài</v>
      </c>
      <c r="F8" s="32" t="s">
        <v>90</v>
      </c>
      <c r="G8" s="34" t="s">
        <v>100</v>
      </c>
    </row>
    <row r="9" customFormat="false" ht="43.5" hidden="false" customHeight="true" outlineLevel="0" collapsed="false">
      <c r="A9" s="35" t="n">
        <v>7</v>
      </c>
      <c r="B9" s="36" t="s">
        <v>30</v>
      </c>
      <c r="C9" s="37" t="s">
        <v>101</v>
      </c>
      <c r="D9" s="37" t="s">
        <v>102</v>
      </c>
      <c r="E9" s="31" t="str">
        <f aca="false">HYPERLINK("https://thanhnien.vn/tham-my-vien-ngoc-dung-tags590312.html","Đọc bài")</f>
        <v>Đọc bài</v>
      </c>
      <c r="F9" s="35" t="s">
        <v>90</v>
      </c>
      <c r="G9" s="37" t="s">
        <v>103</v>
      </c>
    </row>
    <row r="10" customFormat="false" ht="43.5" hidden="false" customHeight="true" outlineLevel="0" collapsed="false">
      <c r="A10" s="35" t="n">
        <v>8</v>
      </c>
      <c r="B10" s="36" t="s">
        <v>40</v>
      </c>
      <c r="C10" s="37" t="s">
        <v>104</v>
      </c>
      <c r="D10" s="37" t="s">
        <v>105</v>
      </c>
      <c r="E10" s="31" t="str">
        <f aca="false">HYPERLINK("https://vnexpress.net/hanh-trinh-29-nam-phat-trien-cua-he-thong-tham-my-thu-cuc-4905537.html","Đọc bài")</f>
        <v>Đọc bài</v>
      </c>
      <c r="F10" s="35" t="s">
        <v>93</v>
      </c>
      <c r="G10" s="37" t="s">
        <v>103</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80"/>
  </cols>
  <sheetData>
    <row r="1" customFormat="false" ht="30" hidden="false" customHeight="true" outlineLevel="0" collapsed="false">
      <c r="A1" s="1" t="s">
        <v>106</v>
      </c>
      <c r="B1" s="1"/>
    </row>
    <row r="2" customFormat="false" ht="25.5" hidden="false" customHeight="true" outlineLevel="0" collapsed="false">
      <c r="A2" s="38" t="s">
        <v>107</v>
      </c>
      <c r="B2" s="39" t="s">
        <v>108</v>
      </c>
    </row>
    <row r="3" customFormat="false" ht="25.5" hidden="false" customHeight="true" outlineLevel="0" collapsed="false">
      <c r="A3" s="38" t="s">
        <v>109</v>
      </c>
      <c r="B3" s="39" t="s">
        <v>110</v>
      </c>
    </row>
    <row r="4" customFormat="false" ht="25.5" hidden="false" customHeight="true" outlineLevel="0" collapsed="false">
      <c r="A4" s="38" t="s">
        <v>111</v>
      </c>
      <c r="B4" s="39" t="s">
        <v>112</v>
      </c>
    </row>
    <row r="5" customFormat="false" ht="25.5" hidden="false" customHeight="true" outlineLevel="0" collapsed="false">
      <c r="A5" s="38" t="s">
        <v>113</v>
      </c>
      <c r="B5" s="39" t="s">
        <v>114</v>
      </c>
    </row>
    <row r="6" customFormat="false" ht="25.5" hidden="false" customHeight="true" outlineLevel="0" collapsed="false">
      <c r="A6" s="38" t="s">
        <v>115</v>
      </c>
      <c r="B6" s="39" t="s">
        <v>116</v>
      </c>
    </row>
    <row r="7" customFormat="false" ht="25.5" hidden="false" customHeight="true" outlineLevel="0" collapsed="false">
      <c r="A7" s="38" t="s">
        <v>117</v>
      </c>
      <c r="B7" s="40" t="s">
        <v>118</v>
      </c>
    </row>
    <row r="8" customFormat="false" ht="25.5" hidden="false" customHeight="true" outlineLevel="0" collapsed="false">
      <c r="A8" s="38" t="s">
        <v>117</v>
      </c>
      <c r="B8" s="40" t="s">
        <v>119</v>
      </c>
    </row>
    <row r="9" customFormat="false" ht="25.5" hidden="false" customHeight="true" outlineLevel="0" collapsed="false">
      <c r="A9" s="38" t="s">
        <v>120</v>
      </c>
      <c r="B9" s="41" t="s">
        <v>121</v>
      </c>
    </row>
    <row r="10" customFormat="false" ht="25.5" hidden="false" customHeight="true" outlineLevel="0" collapsed="false">
      <c r="A10" s="38" t="s">
        <v>122</v>
      </c>
      <c r="B10" s="39" t="s">
        <v>123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2026-06-27T14:07:22Z</dcterms:created>
  <dc:creator>openpyxl</dc:creator>
  <dc:description/>
  <dc:language>en-US</dc:language>
  <cp:lastModifiedBy/>
  <dcterms:modified xsi:type="dcterms:W3CDTF">2026-06-27T14:07:22Z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